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come Statement" sheetId="1" state="visible" r:id="rId3"/>
    <sheet name="Assumptions" sheetId="2" state="visible" r:id="rId4"/>
    <sheet name="Summar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<sst xmlns="http://schemas.openxmlformats.org/spreadsheetml/2006/main" count="51" uniqueCount="47">
  <si>
    <t xml:space="preserve">Acme Corp — Consolidated Income Statement</t>
  </si>
  <si>
    <t xml:space="preserve">$ in millions, except per-share data   ·   Fiscal Year 2026</t>
  </si>
  <si>
    <t xml:space="preserve">FY2026</t>
  </si>
  <si>
    <t xml:space="preserve">FY2025</t>
  </si>
  <si>
    <t xml:space="preserve">YoY</t>
  </si>
  <si>
    <t xml:space="preserve">Revenue</t>
  </si>
  <si>
    <t xml:space="preserve">    Cost of revenue</t>
  </si>
  <si>
    <t xml:space="preserve">Gross profit</t>
  </si>
  <si>
    <t xml:space="preserve">    Gross margin</t>
  </si>
  <si>
    <t xml:space="preserve">Operating expenses</t>
  </si>
  <si>
    <t xml:space="preserve">    Research &amp; development</t>
  </si>
  <si>
    <t xml:space="preserve">    Sales &amp; marketing</t>
  </si>
  <si>
    <t xml:space="preserve">    General &amp; administrative</t>
  </si>
  <si>
    <t xml:space="preserve">Total operating expenses</t>
  </si>
  <si>
    <t xml:space="preserve">Operating income (EBIT)</t>
  </si>
  <si>
    <t xml:space="preserve">    Operating margin</t>
  </si>
  <si>
    <t xml:space="preserve">    Interest expense</t>
  </si>
  <si>
    <t xml:space="preserve">Pretax income</t>
  </si>
  <si>
    <t xml:space="preserve">    Income tax expense</t>
  </si>
  <si>
    <t xml:space="preserve">Net income</t>
  </si>
  <si>
    <t xml:space="preserve">Diluted EPS</t>
  </si>
  <si>
    <t xml:space="preserve">Revenue / EBIT (x)</t>
  </si>
  <si>
    <t xml:space="preserve">Note: Q1 begins the fiscal year on 1 Oct 2025. Tax rate and diluted share count are driven from the Assumptions tab; FY2025 shown for comparison. Figures may not foot due to rounding.</t>
  </si>
  <si>
    <t xml:space="preserve">Model Assumptions &amp; Drivers</t>
  </si>
  <si>
    <t xml:space="preserve">Driver</t>
  </si>
  <si>
    <t xml:space="preserve">Value</t>
  </si>
  <si>
    <t xml:space="preserve">Comment</t>
  </si>
  <si>
    <t xml:space="preserve">Revenue growth (YoY)</t>
  </si>
  <si>
    <t xml:space="preserve">Blended across segments</t>
  </si>
  <si>
    <t xml:space="preserve">Target gross margin</t>
  </si>
  <si>
    <t xml:space="preserve">Mix shift to software</t>
  </si>
  <si>
    <t xml:space="preserve">Effective tax rate</t>
  </si>
  <si>
    <t xml:space="preserve">US statutory + state</t>
  </si>
  <si>
    <t xml:space="preserve">Diluted shares (M)</t>
  </si>
  <si>
    <t xml:space="preserve">Post buyback</t>
  </si>
  <si>
    <t xml:space="preserve">WACC</t>
  </si>
  <si>
    <t xml:space="preserve">CAPM, 1.15 beta</t>
  </si>
  <si>
    <t xml:space="preserve">Terminal growth</t>
  </si>
  <si>
    <t xml:space="preserve">Long-run GDP</t>
  </si>
  <si>
    <t xml:space="preserve">FY2026 Performance Summary</t>
  </si>
  <si>
    <t xml:space="preserve">Pulled live from the Income Statement tab</t>
  </si>
  <si>
    <t xml:space="preserve">Gross margin</t>
  </si>
  <si>
    <t xml:space="preserve">Quarterly revenue ($M) — heat-shaded</t>
  </si>
  <si>
    <t xml:space="preserve">Q1</t>
  </si>
  <si>
    <t xml:space="preserve">Q2</t>
  </si>
  <si>
    <t xml:space="preserve">Q3</t>
  </si>
  <si>
    <t xml:space="preserve">Q4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</si>
</sst>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mmm\-yyyy"/>
    <numFmt numFmtId="166" formatCode="\$#,##0.0;[RED]&quot;($&quot;#,##0.0\)"/>
    <numFmt numFmtId="167" formatCode="\+0.0%;[RED]\-0.0%"/>
    <numFmt numFmtId="168" formatCode="#,##0.0;[RED]\(#,##0.0\)"/>
    <numFmt numFmtId="169" formatCode="0.0%"/>
    <numFmt numFmtId="170" formatCode="\$0.00"/>
    <numFmt numFmtId="171" formatCode="0.00\x"/>
    <numFmt numFmtId="172" formatCode="#,##0"/>
  </numFmts>
  <fonts count="2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libri"/>
      <family val="0"/>
      <charset val="1"/>
    </font>
    <font>
      <i val="true"/>
      <sz val="10"/>
      <color rgb="FFFFFFFF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11"/>
      <color rgb="FF16233B"/>
      <name val="Calibri"/>
      <family val="0"/>
      <charset val="1"/>
    </font>
    <font>
      <sz val="11"/>
      <color rgb="FF5A667A"/>
      <name val="Calibri"/>
      <family val="0"/>
      <charset val="1"/>
    </font>
    <font>
      <i val="true"/>
      <sz val="11"/>
      <color rgb="FF5A667A"/>
      <name val="Calibri"/>
      <family val="0"/>
      <charset val="1"/>
    </font>
    <font>
      <sz val="11"/>
      <color rgb="FF16233B"/>
      <name val="Calibri"/>
      <family val="0"/>
      <charset val="1"/>
    </font>
    <font>
      <b val="true"/>
      <i val="true"/>
      <sz val="11"/>
      <color rgb="FF5A667A"/>
      <name val="Calibri"/>
      <family val="0"/>
      <charset val="1"/>
    </font>
    <font>
      <b val="true"/>
      <sz val="10"/>
      <color rgb="FF0F1E3A"/>
      <name val="Calibri"/>
      <family val="0"/>
      <charset val="1"/>
    </font>
    <font>
      <b val="true"/>
      <sz val="12"/>
      <color rgb="FF0F1E3A"/>
      <name val="Calibri"/>
      <family val="0"/>
      <charset val="1"/>
    </font>
    <font>
      <sz val="12"/>
      <color rgb="FF5A667A"/>
      <name val="Calibri"/>
      <family val="0"/>
      <charset val="1"/>
    </font>
    <font>
      <i val="true"/>
      <sz val="12"/>
      <color rgb="FF5A667A"/>
      <name val="Calibri"/>
      <family val="0"/>
      <charset val="1"/>
    </font>
    <font>
      <i val="true"/>
      <sz val="9"/>
      <color rgb="FF5A667A"/>
      <name val="Calibri"/>
      <family val="0"/>
      <charset val="1"/>
    </font>
    <font>
      <b val="true"/>
      <sz val="14"/>
      <color rgb="FFFFFFFF"/>
      <name val="Calibri"/>
      <family val="0"/>
      <charset val="1"/>
    </font>
    <font>
      <b val="true"/>
      <sz val="11"/>
      <color rgb="FF2F5CE6"/>
      <name val="Calibri"/>
      <family val="0"/>
      <charset val="1"/>
    </font>
    <font>
      <b val="true"/>
      <sz val="16"/>
      <color rgb="FF0F1E3A"/>
      <name val="Calibri"/>
      <family val="0"/>
      <charset val="1"/>
    </font>
    <font>
      <i val="true"/>
      <sz val="10"/>
      <color rgb="FF5A667A"/>
      <name val="Calibri"/>
      <family val="0"/>
      <charset val="1"/>
    </font>
    <font>
      <b val="true"/>
      <sz val="18"/>
      <color rgb="FF0F1E3A"/>
      <name val="Calibri"/>
      <family val="0"/>
      <charset val="1"/>
    </font>
    <font>
      <b val="true"/>
      <sz val="18"/>
      <color rgb="FF1E7F3C"/>
      <name val="Calibri"/>
      <family val="0"/>
      <charset val="1"/>
    </font>
    <font>
      <b val="true"/>
      <sz val="18"/>
      <color rgb="FF2F5CE6"/>
      <name val="Calibri"/>
      <family val="0"/>
      <charset val="1"/>
    </font>
    <font>
      <b val="true"/>
      <sz val="18"/>
      <color rgb="FFF5A623"/>
      <name val="Calibri"/>
      <family val="0"/>
      <charset val="1"/>
    </font>
    <font>
      <b val="true"/>
      <sz val="11"/>
      <color rgb="FF0F1E3A"/>
      <name val="Calibri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0F1E3A"/>
        <bgColor rgb="FF16233B"/>
      </patternFill>
    </fill>
    <fill>
      <patternFill patternType="solid">
        <fgColor rgb="FF2F5CE6"/>
        <bgColor rgb="FF0066CC"/>
      </patternFill>
    </fill>
    <fill>
      <patternFill patternType="solid">
        <fgColor rgb="FFEEF1F6"/>
        <bgColor rgb="FFDCE4F5"/>
      </patternFill>
    </fill>
    <fill>
      <patternFill patternType="solid">
        <fgColor rgb="FF1E7F3C"/>
        <bgColor rgb="FF338C4F"/>
      </patternFill>
    </fill>
    <fill>
      <patternFill patternType="solid">
        <fgColor rgb="FFF5A623"/>
        <bgColor rgb="FFFFCC00"/>
      </patternFill>
    </fill>
    <fill>
      <patternFill patternType="solid">
        <fgColor rgb="FFDCE4F5"/>
        <bgColor rgb="FFEEF1F6"/>
      </patternFill>
    </fill>
    <fill>
      <patternFill patternType="solid">
        <fgColor rgb="FFC5E4CD"/>
        <bgColor rgb="FFC9D2E0"/>
      </patternFill>
    </fill>
    <fill>
      <patternFill patternType="solid">
        <fgColor rgb="FF9CCBAA"/>
        <bgColor rgb="FF99CCFF"/>
      </patternFill>
    </fill>
    <fill>
      <patternFill patternType="solid">
        <fgColor rgb="FF69AC7D"/>
        <bgColor rgb="FF808080"/>
      </patternFill>
    </fill>
    <fill>
      <patternFill patternType="solid">
        <fgColor rgb="FF338C4F"/>
        <bgColor rgb="FF1E7F3C"/>
      </patternFill>
    </fill>
  </fills>
  <borders count="5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0F1E3A"/>
      </bottom>
      <diagonal/>
    </border>
    <border diagonalUp="false" diagonalDown="false">
      <left/>
      <right/>
      <top style="medium">
        <color rgb="FF0F1E3A"/>
      </top>
      <bottom/>
      <diagonal/>
    </border>
    <border diagonalUp="false" diagonalDown="false">
      <left/>
      <right/>
      <top style="thin">
        <color rgb="FFC9D2E0"/>
      </top>
      <bottom/>
      <diagonal/>
    </border>
    <border diagonalUp="false" diagonalDown="false">
      <left/>
      <right/>
      <top style="medium">
        <color rgb="FF0F1E3A"/>
      </top>
      <bottom style="double">
        <color rgb="FF0F1E3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8" fontId="1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9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9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1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2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7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8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9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0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3" fillId="0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4" fillId="0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5" fillId="0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1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0" fontId="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0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1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1" fontId="1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7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9" fontId="18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6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9" fontId="1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2" fontId="1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9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21" fillId="7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22" fillId="7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9" fontId="23" fillId="7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0" fontId="24" fillId="7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7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2" fontId="7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2" fontId="7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2" fontId="7" fillId="11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E7F3C"/>
      <rgbColor rgb="FF000080"/>
      <rgbColor rgb="FF808000"/>
      <rgbColor rgb="FF800080"/>
      <rgbColor rgb="FF008080"/>
      <rgbColor rgb="FF9CCBAA"/>
      <rgbColor rgb="FF808080"/>
      <rgbColor rgb="FF9999FF"/>
      <rgbColor rgb="FF993366"/>
      <rgbColor rgb="FFEEF1F6"/>
      <rgbColor rgb="FFDCE4F5"/>
      <rgbColor rgb="FF660066"/>
      <rgbColor rgb="FFFF8080"/>
      <rgbColor rgb="FF0066CC"/>
      <rgbColor rgb="FFC9D2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5E4CD"/>
      <rgbColor rgb="FFFFFF99"/>
      <rgbColor rgb="FF99CCFF"/>
      <rgbColor rgb="FFFF99CC"/>
      <rgbColor rgb="FFCC99FF"/>
      <rgbColor rgb="FFFFCC99"/>
      <rgbColor rgb="FF2F5CE6"/>
      <rgbColor rgb="FF33CCCC"/>
      <rgbColor rgb="FF99CC00"/>
      <rgbColor rgb="FFFFCC00"/>
      <rgbColor rgb="FFF5A623"/>
      <rgbColor rgb="FFFF6600"/>
      <rgbColor rgb="FF5A667A"/>
      <rgbColor rgb="FF69AC7D"/>
      <rgbColor rgb="FF0F1E3A"/>
      <rgbColor rgb="FF338C4F"/>
      <rgbColor rgb="FF003300"/>
      <rgbColor rgb="FF333300"/>
      <rgbColor rgb="FF993300"/>
      <rgbColor rgb="FF993366"/>
      <rgbColor rgb="FF333399"/>
      <rgbColor rgb="FF1623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6" activeCellId="0" sqref="A6"/>
    </sheetView>
  </sheetViews>
  <sheetFormatPr defaultColWidth="8.51562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5" min="2" style="0" width="12"/>
    <col collapsed="false" customWidth="true" hidden="false" outlineLevel="0" max="7" min="6" style="0" width="13"/>
    <col collapsed="false" customWidth="true" hidden="false" outlineLevel="0" max="8" min="8" style="0" width="11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19.5" hidden="false" customHeight="true" outlineLevel="0" collapsed="false">
      <c r="A3" s="3"/>
      <c r="B3" s="4" t="n">
        <v>46022</v>
      </c>
      <c r="C3" s="4" t="n">
        <v>46112</v>
      </c>
      <c r="D3" s="4" t="n">
        <v>46203</v>
      </c>
      <c r="E3" s="4" t="n">
        <v>46295</v>
      </c>
      <c r="F3" s="5" t="s">
        <v>2</v>
      </c>
      <c r="G3" s="5" t="s">
        <v>3</v>
      </c>
      <c r="H3" s="5" t="s">
        <v>4</v>
      </c>
    </row>
    <row r="4" customFormat="false" ht="15" hidden="false" customHeight="false" outlineLevel="0" collapsed="false">
      <c r="A4" s="6" t="s">
        <v>5</v>
      </c>
      <c r="B4" s="7" t="n">
        <v>412</v>
      </c>
      <c r="C4" s="7" t="n">
        <v>438.5</v>
      </c>
      <c r="D4" s="7" t="n">
        <v>471.2</v>
      </c>
      <c r="E4" s="7" t="n">
        <v>505.9</v>
      </c>
      <c r="F4" s="7" t="n">
        <f aca="false">SUM(B4:E4)</f>
        <v>1827.6</v>
      </c>
      <c r="G4" s="8" t="n">
        <v>1502</v>
      </c>
      <c r="H4" s="9" t="n">
        <f aca="false">IF(G4=0,"",F4/G4-1)</f>
        <v>0.216777629826897</v>
      </c>
    </row>
    <row r="5" customFormat="false" ht="15" hidden="false" customHeight="false" outlineLevel="0" collapsed="false">
      <c r="A5" s="10" t="s">
        <v>6</v>
      </c>
      <c r="B5" s="11" t="n">
        <v>-168.9</v>
      </c>
      <c r="C5" s="11" t="n">
        <v>-177.4</v>
      </c>
      <c r="D5" s="11" t="n">
        <v>-188.5</v>
      </c>
      <c r="E5" s="11" t="n">
        <v>-200.8</v>
      </c>
      <c r="F5" s="12" t="n">
        <f aca="false">SUM(B5:E5)</f>
        <v>-735.6</v>
      </c>
      <c r="G5" s="13" t="n">
        <v>-690</v>
      </c>
      <c r="H5" s="9" t="n">
        <f aca="false">IF(G5=0,"",F5/G5-1)</f>
        <v>0.0660869565217392</v>
      </c>
    </row>
    <row r="6" customFormat="false" ht="15" hidden="false" customHeight="false" outlineLevel="0" collapsed="false">
      <c r="A6" s="14" t="s">
        <v>7</v>
      </c>
      <c r="B6" s="15" t="n">
        <f aca="false">B4+B5</f>
        <v>243.1</v>
      </c>
      <c r="C6" s="15" t="n">
        <f aca="false">C4+C5</f>
        <v>261.1</v>
      </c>
      <c r="D6" s="15" t="n">
        <f aca="false">D4+D5</f>
        <v>282.7</v>
      </c>
      <c r="E6" s="15" t="n">
        <f aca="false">E4+E5</f>
        <v>305.1</v>
      </c>
      <c r="F6" s="15" t="n">
        <f aca="false">F4+F5</f>
        <v>1092</v>
      </c>
      <c r="G6" s="16" t="n">
        <v>812</v>
      </c>
      <c r="H6" s="17" t="n">
        <f aca="false">IF(G6=0,"",F6/G6-1)</f>
        <v>0.344827586206897</v>
      </c>
    </row>
    <row r="7" customFormat="false" ht="15" hidden="false" customHeight="false" outlineLevel="0" collapsed="false">
      <c r="A7" s="18" t="s">
        <v>8</v>
      </c>
      <c r="B7" s="19" t="n">
        <f aca="false">B6/B4</f>
        <v>0.59004854368932</v>
      </c>
      <c r="C7" s="19" t="n">
        <f aca="false">C6/C4</f>
        <v>0.595438996579248</v>
      </c>
      <c r="D7" s="19" t="n">
        <f aca="false">D6/D4</f>
        <v>0.599957555178268</v>
      </c>
      <c r="E7" s="19" t="n">
        <f aca="false">E6/E4</f>
        <v>0.603083613362325</v>
      </c>
      <c r="F7" s="20" t="n">
        <f aca="false">F6/F4</f>
        <v>0.597504924491136</v>
      </c>
      <c r="G7" s="19" t="n">
        <f aca="false">G6/G4</f>
        <v>0.540612516644474</v>
      </c>
    </row>
    <row r="8" customFormat="false" ht="15" hidden="false" customHeight="false" outlineLevel="0" collapsed="false">
      <c r="A8" s="21" t="s">
        <v>9</v>
      </c>
      <c r="B8" s="21"/>
      <c r="C8" s="21"/>
      <c r="D8" s="21"/>
      <c r="E8" s="21"/>
      <c r="F8" s="21"/>
      <c r="G8" s="21"/>
      <c r="H8" s="21"/>
    </row>
    <row r="9" customFormat="false" ht="15" hidden="false" customHeight="false" outlineLevel="0" collapsed="false">
      <c r="A9" s="10" t="s">
        <v>10</v>
      </c>
      <c r="B9" s="11" t="n">
        <v>-52</v>
      </c>
      <c r="C9" s="11" t="n">
        <v>-55.1</v>
      </c>
      <c r="D9" s="11" t="n">
        <v>-58.4</v>
      </c>
      <c r="E9" s="11" t="n">
        <v>-61</v>
      </c>
      <c r="F9" s="12" t="n">
        <f aca="false">SUM(B9:E9)</f>
        <v>-226.5</v>
      </c>
      <c r="G9" s="13"/>
      <c r="H9" s="9" t="str">
        <f aca="false">IF(G9=0,"",F9/G9-1)</f>
        <v/>
      </c>
    </row>
    <row r="10" customFormat="false" ht="15" hidden="false" customHeight="false" outlineLevel="0" collapsed="false">
      <c r="A10" s="10" t="s">
        <v>11</v>
      </c>
      <c r="B10" s="11" t="n">
        <v>-70.4</v>
      </c>
      <c r="C10" s="11" t="n">
        <v>-74.2</v>
      </c>
      <c r="D10" s="11" t="n">
        <v>-79.9</v>
      </c>
      <c r="E10" s="11" t="n">
        <v>-84.1</v>
      </c>
      <c r="F10" s="12" t="n">
        <f aca="false">SUM(B10:E10)</f>
        <v>-308.6</v>
      </c>
      <c r="G10" s="13"/>
      <c r="H10" s="9" t="str">
        <f aca="false">IF(G10=0,"",F10/G10-1)</f>
        <v/>
      </c>
    </row>
    <row r="11" customFormat="false" ht="15" hidden="false" customHeight="false" outlineLevel="0" collapsed="false">
      <c r="A11" s="10" t="s">
        <v>12</v>
      </c>
      <c r="B11" s="11" t="n">
        <v>-28.1</v>
      </c>
      <c r="C11" s="11" t="n">
        <v>-29</v>
      </c>
      <c r="D11" s="11" t="n">
        <v>-30.2</v>
      </c>
      <c r="E11" s="11" t="n">
        <v>-31.4</v>
      </c>
      <c r="F11" s="12" t="n">
        <f aca="false">SUM(B11:E11)</f>
        <v>-118.7</v>
      </c>
      <c r="G11" s="13"/>
      <c r="H11" s="9" t="str">
        <f aca="false">IF(G11=0,"",F11/G11-1)</f>
        <v/>
      </c>
    </row>
    <row r="12" customFormat="false" ht="15" hidden="false" customHeight="false" outlineLevel="0" collapsed="false">
      <c r="A12" s="22" t="s">
        <v>13</v>
      </c>
      <c r="B12" s="23" t="n">
        <f aca="false">SUM(B9:B11)</f>
        <v>-150.5</v>
      </c>
      <c r="C12" s="23" t="n">
        <f aca="false">SUM(C9:C11)</f>
        <v>-158.3</v>
      </c>
      <c r="D12" s="23" t="n">
        <f aca="false">SUM(D9:D11)</f>
        <v>-168.5</v>
      </c>
      <c r="E12" s="23" t="n">
        <f aca="false">SUM(E9:E11)</f>
        <v>-176.5</v>
      </c>
      <c r="F12" s="23" t="n">
        <f aca="false">SUM(F9:F11)</f>
        <v>-653.8</v>
      </c>
      <c r="G12" s="24" t="n">
        <v>-905</v>
      </c>
      <c r="H12" s="25" t="n">
        <f aca="false">IF(G12=0,"",F12/G12-1)</f>
        <v>-0.277569060773481</v>
      </c>
    </row>
    <row r="13" customFormat="false" ht="15" hidden="false" customHeight="false" outlineLevel="0" collapsed="false">
      <c r="A13" s="14" t="s">
        <v>14</v>
      </c>
      <c r="B13" s="15" t="n">
        <f aca="false">B6+B12</f>
        <v>92.6</v>
      </c>
      <c r="C13" s="15" t="n">
        <f aca="false">C6+C12</f>
        <v>102.8</v>
      </c>
      <c r="D13" s="15" t="n">
        <f aca="false">D6+D12</f>
        <v>114.2</v>
      </c>
      <c r="E13" s="15" t="n">
        <f aca="false">E6+E12</f>
        <v>128.6</v>
      </c>
      <c r="F13" s="15" t="n">
        <f aca="false">F6+F12</f>
        <v>438.2</v>
      </c>
      <c r="G13" s="16" t="n">
        <v>412</v>
      </c>
      <c r="H13" s="17" t="n">
        <f aca="false">IF(G13=0,"",F13/G13-1)</f>
        <v>0.0635922330097085</v>
      </c>
    </row>
    <row r="14" customFormat="false" ht="15" hidden="false" customHeight="false" outlineLevel="0" collapsed="false">
      <c r="A14" s="18" t="s">
        <v>15</v>
      </c>
      <c r="B14" s="19" t="n">
        <f aca="false">B13/B4</f>
        <v>0.224757281553398</v>
      </c>
      <c r="C14" s="19" t="n">
        <f aca="false">C13/C4</f>
        <v>0.234435575826682</v>
      </c>
      <c r="D14" s="19" t="n">
        <f aca="false">D13/D4</f>
        <v>0.242359932088285</v>
      </c>
      <c r="E14" s="19" t="n">
        <f aca="false">E13/E4</f>
        <v>0.254200434868551</v>
      </c>
      <c r="F14" s="20" t="n">
        <f aca="false">F13/F4</f>
        <v>0.23976800175093</v>
      </c>
      <c r="G14" s="19" t="n">
        <f aca="false">G13/G4</f>
        <v>0.274300932090546</v>
      </c>
    </row>
    <row r="15" customFormat="false" ht="15" hidden="false" customHeight="false" outlineLevel="0" collapsed="false">
      <c r="A15" s="10" t="s">
        <v>16</v>
      </c>
      <c r="B15" s="11" t="n">
        <v>-6.2</v>
      </c>
      <c r="C15" s="11" t="n">
        <v>-6.2</v>
      </c>
      <c r="D15" s="11" t="n">
        <v>-6.1</v>
      </c>
      <c r="E15" s="11" t="n">
        <v>-6</v>
      </c>
      <c r="F15" s="12" t="n">
        <f aca="false">SUM(B15:E15)</f>
        <v>-24.5</v>
      </c>
      <c r="G15" s="13"/>
      <c r="H15" s="9" t="str">
        <f aca="false">IF(G15=0,"",F15/G15-1)</f>
        <v/>
      </c>
    </row>
    <row r="16" customFormat="false" ht="15" hidden="false" customHeight="false" outlineLevel="0" collapsed="false">
      <c r="A16" s="22" t="s">
        <v>17</v>
      </c>
      <c r="B16" s="23" t="n">
        <f aca="false">B13+B15</f>
        <v>86.4</v>
      </c>
      <c r="C16" s="23" t="n">
        <f aca="false">C13+C15</f>
        <v>96.6</v>
      </c>
      <c r="D16" s="23" t="n">
        <f aca="false">D13+D15</f>
        <v>108.1</v>
      </c>
      <c r="E16" s="23" t="n">
        <f aca="false">E13+E15</f>
        <v>122.6</v>
      </c>
      <c r="F16" s="23" t="n">
        <f aca="false">F13+F15</f>
        <v>413.7</v>
      </c>
      <c r="G16" s="24" t="n">
        <v>387.3</v>
      </c>
      <c r="H16" s="25" t="n">
        <f aca="false">IF(G16=0,"",F16/G16-1)</f>
        <v>0.0681642137877612</v>
      </c>
    </row>
    <row r="17" customFormat="false" ht="15" hidden="false" customHeight="false" outlineLevel="0" collapsed="false">
      <c r="A17" s="10" t="s">
        <v>18</v>
      </c>
      <c r="B17" s="11" t="n">
        <f aca="false">-B16*Assumptions!$B$4</f>
        <v>-51.6672</v>
      </c>
      <c r="C17" s="11" t="n">
        <f aca="false">-C16*Assumptions!$B$4</f>
        <v>-57.7668</v>
      </c>
      <c r="D17" s="11" t="n">
        <f aca="false">-D16*Assumptions!$B$4</f>
        <v>-64.6438</v>
      </c>
      <c r="E17" s="11" t="n">
        <f aca="false">-E16*Assumptions!$B$4</f>
        <v>-73.3148</v>
      </c>
      <c r="F17" s="12" t="n">
        <f aca="false">-F16*Assumptions!$B$4</f>
        <v>-247.3926</v>
      </c>
      <c r="G17" s="13" t="n">
        <v>-81.333</v>
      </c>
      <c r="H17" s="9" t="n">
        <f aca="false">IF(G17=0,"",F17/G17-1)</f>
        <v>2.04172476116705</v>
      </c>
    </row>
    <row r="18" customFormat="false" ht="15" hidden="false" customHeight="false" outlineLevel="0" collapsed="false">
      <c r="A18" s="26" t="s">
        <v>19</v>
      </c>
      <c r="B18" s="27" t="n">
        <f aca="false">B16+B17</f>
        <v>34.7328</v>
      </c>
      <c r="C18" s="27" t="n">
        <f aca="false">C16+C17</f>
        <v>38.8332</v>
      </c>
      <c r="D18" s="27" t="n">
        <f aca="false">D16+D17</f>
        <v>43.4562</v>
      </c>
      <c r="E18" s="27" t="n">
        <f aca="false">E16+E17</f>
        <v>49.2852</v>
      </c>
      <c r="F18" s="27" t="n">
        <f aca="false">F16+F17</f>
        <v>166.3074</v>
      </c>
      <c r="G18" s="28" t="n">
        <v>300</v>
      </c>
      <c r="H18" s="29" t="n">
        <f aca="false">IF(G18=0,"",F18/G18-1)</f>
        <v>-0.445642</v>
      </c>
    </row>
    <row r="20" customFormat="false" ht="15" hidden="false" customHeight="false" outlineLevel="0" collapsed="false">
      <c r="A20" s="10" t="s">
        <v>20</v>
      </c>
      <c r="B20" s="30" t="n">
        <f aca="false">B18/Assumptions!$B$5</f>
        <v>165.394285714286</v>
      </c>
      <c r="C20" s="30" t="n">
        <f aca="false">C18/Assumptions!$B$5</f>
        <v>184.92</v>
      </c>
      <c r="D20" s="30" t="n">
        <f aca="false">D18/Assumptions!$B$5</f>
        <v>206.934285714286</v>
      </c>
      <c r="E20" s="30" t="n">
        <f aca="false">E18/Assumptions!$B$5</f>
        <v>234.691428571429</v>
      </c>
      <c r="F20" s="31" t="n">
        <f aca="false">F18/Assumptions!$B$5</f>
        <v>791.94</v>
      </c>
      <c r="G20" s="32" t="n">
        <f aca="false">G18/Assumptions!$B$5</f>
        <v>1428.57142857143</v>
      </c>
    </row>
    <row r="21" customFormat="false" ht="15" hidden="false" customHeight="false" outlineLevel="0" collapsed="false">
      <c r="A21" s="18" t="s">
        <v>21</v>
      </c>
      <c r="B21" s="33"/>
      <c r="C21" s="33"/>
      <c r="D21" s="33"/>
      <c r="E21" s="33"/>
      <c r="F21" s="34" t="n">
        <f aca="false">F4/F13</f>
        <v>4.17069831127339</v>
      </c>
      <c r="G21" s="33" t="n">
        <f aca="false">FALSE()</f>
        <v>0</v>
      </c>
    </row>
    <row r="23" customFormat="false" ht="15.75" hidden="false" customHeight="true" outlineLevel="0" collapsed="false">
      <c r="A23" s="35" t="s">
        <v>22</v>
      </c>
      <c r="B23" s="35"/>
      <c r="C23" s="35"/>
      <c r="D23" s="35"/>
      <c r="E23" s="35"/>
      <c r="F23" s="35"/>
      <c r="G23" s="35"/>
      <c r="H23" s="35"/>
    </row>
    <row r="24" customFormat="false" ht="15" hidden="false" customHeight="false" outlineLevel="0" collapsed="false">
      <c r="A24" s="35"/>
      <c r="B24" s="35"/>
      <c r="C24" s="35"/>
      <c r="D24" s="35"/>
      <c r="E24" s="35"/>
      <c r="F24" s="35"/>
      <c r="G24" s="35"/>
      <c r="H24" s="35"/>
    </row>
  </sheetData>
  <mergeCells count="4">
    <mergeCell ref="A1:H1"/>
    <mergeCell ref="A2:H2"/>
    <mergeCell ref="A8:H8"/>
    <mergeCell ref="A23:H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1562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4"/>
    <col collapsed="false" customWidth="true" hidden="false" outlineLevel="0" max="3" min="3" style="0" width="40"/>
  </cols>
  <sheetData>
    <row r="1" customFormat="false" ht="25.5" hidden="false" customHeight="true" outlineLevel="0" collapsed="false">
      <c r="A1" s="36" t="s">
        <v>23</v>
      </c>
      <c r="B1" s="36"/>
      <c r="C1" s="36"/>
    </row>
    <row r="2" customFormat="false" ht="15" hidden="false" customHeight="false" outlineLevel="0" collapsed="false">
      <c r="A2" s="37" t="s">
        <v>24</v>
      </c>
      <c r="B2" s="38" t="s">
        <v>25</v>
      </c>
      <c r="C2" s="37" t="s">
        <v>26</v>
      </c>
    </row>
    <row r="3" customFormat="false" ht="15" hidden="false" customHeight="false" outlineLevel="0" collapsed="false">
      <c r="A3" s="39" t="s">
        <v>27</v>
      </c>
      <c r="B3" s="40" t="n">
        <v>0.208</v>
      </c>
      <c r="C3" s="41" t="s">
        <v>28</v>
      </c>
    </row>
    <row r="4" customFormat="false" ht="15" hidden="false" customHeight="false" outlineLevel="0" collapsed="false">
      <c r="A4" s="10" t="s">
        <v>29</v>
      </c>
      <c r="B4" s="42" t="n">
        <v>0.598</v>
      </c>
      <c r="C4" s="43" t="s">
        <v>30</v>
      </c>
    </row>
    <row r="5" customFormat="false" ht="15" hidden="false" customHeight="false" outlineLevel="0" collapsed="false">
      <c r="A5" s="39" t="s">
        <v>31</v>
      </c>
      <c r="B5" s="40" t="n">
        <v>0.21</v>
      </c>
      <c r="C5" s="41" t="s">
        <v>32</v>
      </c>
    </row>
    <row r="6" customFormat="false" ht="15" hidden="false" customHeight="false" outlineLevel="0" collapsed="false">
      <c r="A6" s="10" t="s">
        <v>33</v>
      </c>
      <c r="B6" s="44" t="n">
        <v>210</v>
      </c>
      <c r="C6" s="43" t="s">
        <v>34</v>
      </c>
    </row>
    <row r="7" customFormat="false" ht="15" hidden="false" customHeight="false" outlineLevel="0" collapsed="false">
      <c r="A7" s="39" t="s">
        <v>35</v>
      </c>
      <c r="B7" s="40" t="n">
        <v>0.092</v>
      </c>
      <c r="C7" s="41" t="s">
        <v>36</v>
      </c>
    </row>
    <row r="8" customFormat="false" ht="15" hidden="false" customHeight="false" outlineLevel="0" collapsed="false">
      <c r="A8" s="10" t="s">
        <v>37</v>
      </c>
      <c r="B8" s="42" t="n">
        <v>0.025</v>
      </c>
      <c r="C8" s="43" t="s">
        <v>38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1562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6" min="3" style="0" width="16"/>
    <col collapsed="false" customWidth="true" hidden="false" outlineLevel="0" max="7" min="7" style="0" width="3"/>
  </cols>
  <sheetData>
    <row r="2" customFormat="false" ht="19.7" hidden="false" customHeight="false" outlineLevel="0" collapsed="false">
      <c r="B2" s="45" t="s">
        <v>39</v>
      </c>
      <c r="C2" s="45"/>
      <c r="D2" s="45"/>
      <c r="E2" s="45"/>
      <c r="F2" s="45"/>
    </row>
    <row r="3" customFormat="false" ht="15" hidden="false" customHeight="false" outlineLevel="0" collapsed="false">
      <c r="B3" s="46" t="s">
        <v>40</v>
      </c>
      <c r="C3" s="46"/>
      <c r="D3" s="46"/>
      <c r="E3" s="46"/>
      <c r="F3" s="46"/>
    </row>
    <row r="5" customFormat="false" ht="15" hidden="false" customHeight="false" outlineLevel="0" collapsed="false">
      <c r="B5" s="47" t="s">
        <v>5</v>
      </c>
      <c r="C5" s="48" t="s">
        <v>19</v>
      </c>
      <c r="D5" s="49" t="s">
        <v>41</v>
      </c>
      <c r="E5" s="50" t="s">
        <v>20</v>
      </c>
    </row>
    <row r="6" customFormat="false" ht="33.75" hidden="false" customHeight="true" outlineLevel="0" collapsed="false">
      <c r="B6" s="51" t="n">
        <f aca="false">'Income Statement'!F4</f>
        <v>1827.6</v>
      </c>
      <c r="C6" s="52" t="n">
        <f aca="false">'Income Statement'!F18</f>
        <v>166.3074</v>
      </c>
      <c r="D6" s="53" t="n">
        <f aca="false">'Income Statement'!F6/'Income Statement'!F4</f>
        <v>0.597504924491136</v>
      </c>
      <c r="E6" s="54" t="n">
        <f aca="false">'Income Statement'!F20</f>
        <v>791.94</v>
      </c>
    </row>
    <row r="9" customFormat="false" ht="15" hidden="false" customHeight="false" outlineLevel="0" collapsed="false">
      <c r="B9" s="55" t="s">
        <v>42</v>
      </c>
      <c r="C9" s="55"/>
      <c r="D9" s="55"/>
      <c r="E9" s="55"/>
      <c r="F9" s="55"/>
    </row>
    <row r="10" customFormat="false" ht="15" hidden="false" customHeight="false" outlineLevel="0" collapsed="false">
      <c r="C10" s="56" t="s">
        <v>43</v>
      </c>
      <c r="D10" s="56" t="s">
        <v>44</v>
      </c>
      <c r="E10" s="56" t="s">
        <v>45</v>
      </c>
      <c r="F10" s="56" t="s">
        <v>46</v>
      </c>
    </row>
    <row r="11" customFormat="false" ht="15" hidden="false" customHeight="false" outlineLevel="0" collapsed="false">
      <c r="B11" s="6" t="s">
        <v>5</v>
      </c>
      <c r="C11" s="57" t="n">
        <f aca="false">'Income Statement'!B4</f>
        <v>412</v>
      </c>
      <c r="D11" s="58" t="n">
        <f aca="false">'Income Statement'!C4</f>
        <v>438.5</v>
      </c>
      <c r="E11" s="59" t="n">
        <f aca="false">'Income Statement'!D4</f>
        <v>471.2</v>
      </c>
      <c r="F11" s="60" t="n">
        <f aca="false">'Income Statement'!E4</f>
        <v>505.9</v>
      </c>
    </row>
  </sheetData>
  <mergeCells count="3">
    <mergeCell ref="B2:F2"/>
    <mergeCell ref="B3:F3"/>
    <mergeCell ref="B9:F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2026-07-05T08:12:39Z</dcterms:created>
  <dc:creator>openpyxl</dc:creator>
  <dc:description/>
  <dc:language>en-US</dc:language>
  <cp:lastModifiedBy/>
  <dcterms:modified xsi:type="dcterms:W3CDTF">2026-07-05T08:12:40Z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