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;[Red](#,##0.0)"/>
    <numFmt numFmtId="165" formatCode="0.0%"/>
    <numFmt numFmtId="166" formatCode="yyyy-mm-dd"/>
    <numFmt numFmtId="167" formatCode="mmm-yyyy"/>
    <numFmt numFmtId="168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2" borderId="0" pivotButton="0" quotePrefix="0" xfId="0"/>
    <xf numFmtId="167" fontId="2" fillId="2" borderId="0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  <xf numFmtId="168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1" t="inlineStr">
        <is>
          <t>Assumptions</t>
        </is>
      </c>
    </row>
    <row r="3">
      <c r="A3" t="inlineStr">
        <is>
          <t>Opening revenue</t>
        </is>
      </c>
      <c r="B3" s="2" t="n">
        <v>1200</v>
      </c>
    </row>
    <row r="4">
      <c r="A4" t="inlineStr">
        <is>
          <t>Growth rate</t>
        </is>
      </c>
      <c r="B4" s="3" t="n">
        <v>0.08500000000000001</v>
      </c>
    </row>
    <row r="5">
      <c r="A5" t="inlineStr">
        <is>
          <t>Gross margin</t>
        </is>
      </c>
      <c r="B5" s="3" t="n">
        <v>0.62</v>
      </c>
    </row>
    <row r="6">
      <c r="A6" t="inlineStr">
        <is>
          <t>Opex ratio</t>
        </is>
      </c>
      <c r="B6" s="3" t="n">
        <v>0.34</v>
      </c>
    </row>
    <row r="7">
      <c r="A7" t="inlineStr">
        <is>
          <t>Tax rate</t>
        </is>
      </c>
      <c r="B7" s="3" t="n">
        <v>0.23</v>
      </c>
    </row>
    <row r="8">
      <c r="A8" t="inlineStr">
        <is>
          <t>Discount rate</t>
        </is>
      </c>
      <c r="B8" s="3" t="n">
        <v>0.11</v>
      </c>
    </row>
    <row r="9">
      <c r="A9" t="inlineStr">
        <is>
          <t>Start date</t>
        </is>
      </c>
      <c r="B9" s="4" t="n">
        <v>46023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Five-year model</t>
        </is>
      </c>
    </row>
    <row r="3">
      <c r="A3" s="5" t="inlineStr">
        <is>
          <t>Line</t>
        </is>
      </c>
      <c r="B3" s="6">
        <f>EOMONTH(Assumptions!$B$9,12)</f>
        <v/>
      </c>
      <c r="C3" s="6">
        <f>EOMONTH(Assumptions!$B$9,24)</f>
        <v/>
      </c>
      <c r="D3" s="6">
        <f>EOMONTH(Assumptions!$B$9,36)</f>
        <v/>
      </c>
      <c r="E3" s="6">
        <f>EOMONTH(Assumptions!$B$9,48)</f>
        <v/>
      </c>
      <c r="F3" s="6">
        <f>EOMONTH(Assumptions!$B$9,60)</f>
        <v/>
      </c>
    </row>
    <row r="4">
      <c r="A4" t="inlineStr">
        <is>
          <t>Revenue</t>
        </is>
      </c>
      <c r="B4" s="2">
        <f>Assumptions!$B$3*(1+Assumptions!$B$4)</f>
        <v/>
      </c>
      <c r="C4" s="2">
        <f>B4*(1+Assumptions!$B$4)</f>
        <v/>
      </c>
      <c r="D4" s="2">
        <f>C4*(1+Assumptions!$B$4)</f>
        <v/>
      </c>
      <c r="E4" s="2">
        <f>D4*(1+Assumptions!$B$4)</f>
        <v/>
      </c>
      <c r="F4" s="2">
        <f>E4*(1+Assumptions!$B$4)</f>
        <v/>
      </c>
    </row>
    <row r="5">
      <c r="A5" t="inlineStr">
        <is>
          <t>Gross profit</t>
        </is>
      </c>
      <c r="B5" s="2">
        <f>ROUND(B4*Assumptions!$B$5,1)</f>
        <v/>
      </c>
      <c r="C5" s="2">
        <f>ROUND(C4*Assumptions!$B$5,1)</f>
        <v/>
      </c>
      <c r="D5" s="2">
        <f>ROUND(D4*Assumptions!$B$5,1)</f>
        <v/>
      </c>
      <c r="E5" s="2">
        <f>ROUND(E4*Assumptions!$B$5,1)</f>
        <v/>
      </c>
      <c r="F5" s="2">
        <f>ROUND(F4*Assumptions!$B$5,1)</f>
        <v/>
      </c>
    </row>
    <row r="6">
      <c r="A6" t="inlineStr">
        <is>
          <t>Operating expenses</t>
        </is>
      </c>
      <c r="B6" s="2">
        <f>-ROUND(B4*Assumptions!$B$6,1)</f>
        <v/>
      </c>
      <c r="C6" s="2">
        <f>-ROUND(C4*Assumptions!$B$6,1)</f>
        <v/>
      </c>
      <c r="D6" s="2">
        <f>-ROUND(D4*Assumptions!$B$6,1)</f>
        <v/>
      </c>
      <c r="E6" s="2">
        <f>-ROUND(E4*Assumptions!$B$6,1)</f>
        <v/>
      </c>
      <c r="F6" s="2">
        <f>-ROUND(F4*Assumptions!$B$6,1)</f>
        <v/>
      </c>
    </row>
    <row r="7">
      <c r="A7" s="7" t="inlineStr">
        <is>
          <t>EBIT</t>
        </is>
      </c>
      <c r="B7" s="8">
        <f>SUM(B5:B6)</f>
        <v/>
      </c>
      <c r="C7" s="8">
        <f>SUM(C5:C6)</f>
        <v/>
      </c>
      <c r="D7" s="8">
        <f>SUM(D5:D6)</f>
        <v/>
      </c>
      <c r="E7" s="8">
        <f>SUM(E5:E6)</f>
        <v/>
      </c>
      <c r="F7" s="8">
        <f>SUM(F5:F6)</f>
        <v/>
      </c>
    </row>
    <row r="8">
      <c r="A8" t="inlineStr">
        <is>
          <t>Tax</t>
        </is>
      </c>
      <c r="B8" s="2">
        <f>-MAX(0,B7*Assumptions!$B$7)</f>
        <v/>
      </c>
      <c r="C8" s="2">
        <f>-MAX(0,C7*Assumptions!$B$7)</f>
        <v/>
      </c>
      <c r="D8" s="2">
        <f>-MAX(0,D7*Assumptions!$B$7)</f>
        <v/>
      </c>
      <c r="E8" s="2">
        <f>-MAX(0,E7*Assumptions!$B$7)</f>
        <v/>
      </c>
      <c r="F8" s="2">
        <f>-MAX(0,F7*Assumptions!$B$7)</f>
        <v/>
      </c>
    </row>
    <row r="9">
      <c r="A9" s="7" t="inlineStr">
        <is>
          <t>Net income</t>
        </is>
      </c>
      <c r="B9" s="8">
        <f>B7+B8</f>
        <v/>
      </c>
      <c r="C9" s="8">
        <f>C7+C8</f>
        <v/>
      </c>
      <c r="D9" s="8">
        <f>D7+D8</f>
        <v/>
      </c>
      <c r="E9" s="8">
        <f>E7+E8</f>
        <v/>
      </c>
      <c r="F9" s="8">
        <f>F7+F8</f>
        <v/>
      </c>
    </row>
    <row r="10">
      <c r="A10" t="inlineStr">
        <is>
          <t>Margin</t>
        </is>
      </c>
      <c r="B10" s="3">
        <f>IF(B4=0,"",B9/B4)</f>
        <v/>
      </c>
      <c r="C10" s="3">
        <f>IF(C4=0,"",C9/C4)</f>
        <v/>
      </c>
      <c r="D10" s="3">
        <f>IF(D4=0,"",D9/D4)</f>
        <v/>
      </c>
      <c r="E10" s="3">
        <f>IF(E4=0,"",E9/E4)</f>
        <v/>
      </c>
      <c r="F10" s="3">
        <f>IF(F4=0,"",F9/F4)</f>
        <v/>
      </c>
    </row>
    <row r="11">
      <c r="A11" t="inlineStr">
        <is>
          <t>Growth</t>
        </is>
      </c>
      <c r="B11" s="3">
        <f>""</f>
        <v/>
      </c>
      <c r="C11" s="3">
        <f>C4/B4-1</f>
        <v/>
      </c>
      <c r="D11" s="3">
        <f>D4/C4-1</f>
        <v/>
      </c>
      <c r="E11" s="3">
        <f>E4/D4-1</f>
        <v/>
      </c>
      <c r="F11" s="3">
        <f>F4/E4-1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Summary</t>
        </is>
      </c>
    </row>
    <row r="3">
      <c r="A3" t="inlineStr">
        <is>
          <t>Total revenue</t>
        </is>
      </c>
      <c r="B3" s="2">
        <f>SUM(Model!B4:F4)</f>
        <v/>
      </c>
    </row>
    <row r="4">
      <c r="A4" t="inlineStr">
        <is>
          <t>Total net income</t>
        </is>
      </c>
      <c r="B4" s="2">
        <f>SUM(Model!B9:F9)</f>
        <v/>
      </c>
    </row>
    <row r="5">
      <c r="A5" t="inlineStr">
        <is>
          <t>Average margin</t>
        </is>
      </c>
      <c r="B5" s="3">
        <f>AVERAGE(Model!B10:F10)</f>
        <v/>
      </c>
    </row>
    <row r="6">
      <c r="A6" t="inlineStr">
        <is>
          <t>Best year</t>
        </is>
      </c>
      <c r="B6" s="2">
        <f>MAX(Model!B9:F9)</f>
        <v/>
      </c>
    </row>
    <row r="7">
      <c r="A7" t="inlineStr">
        <is>
          <t>NPV of net income</t>
        </is>
      </c>
      <c r="B7" s="2">
        <f>NPV(Assumptions!B8,Model!B9:F9)</f>
        <v/>
      </c>
    </row>
    <row r="8">
      <c r="A8" t="inlineStr">
        <is>
          <t>Years to double</t>
        </is>
      </c>
      <c r="B8" s="9">
        <f>PDURATION(Assumptions!B4,1,2)</f>
        <v/>
      </c>
    </row>
    <row r="9">
      <c r="A9" t="inlineStr">
        <is>
          <t>Payback year</t>
        </is>
      </c>
      <c r="B9" s="10">
        <f>IFERROR(MATCH(TRUE,INDEX(Model!B9:F9&gt;0,0),0),"never")</f>
        <v/>
      </c>
    </row>
    <row r="10">
      <c r="A10" t="inlineStr">
        <is>
          <t>Revenue over 1,500</t>
        </is>
      </c>
      <c r="B10" s="10">
        <f>COUNTIF(Model!B4:F4,"&gt;1500")</f>
        <v/>
      </c>
    </row>
    <row r="11">
      <c r="A11" t="inlineStr">
        <is>
          <t>Weighted revenue</t>
        </is>
      </c>
      <c r="B11" s="2">
        <f>SUMPRODUCT(Model!B4:F4,Model!B10:F10)</f>
        <v/>
      </c>
    </row>
    <row r="12">
      <c r="A12" t="inlineStr">
        <is>
          <t>Label</t>
        </is>
      </c>
      <c r="B12">
        <f>"Model through "&amp;TEXT(Model!F3,"yyyy")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2026-07-25T19:45:47Z</dcterms:created>
  <dcterms:modified xmlns:dcterms="http://purl.org/dc/terms/" xmlns:xsi="http://www.w3.org/2001/XMLSchema-instance" xsi:type="dcterms:W3CDTF">2026-07-25T19:45:47Z</dcterms:modified>
</cp:coreProperties>
</file>