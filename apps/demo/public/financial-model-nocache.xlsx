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mmm\-yyyy"/>
    <numFmt numFmtId="166" formatCode="$#,##0.0;[Red]($#,##0.0)"/>
    <numFmt numFmtId="167" formatCode="+0.0%;[Red]-0.0%"/>
    <numFmt numFmtId="168" formatCode="#,##0.0;[Red](#,##0.0)"/>
    <numFmt numFmtId="169" formatCode="0.0%"/>
    <numFmt numFmtId="170" formatCode="$0.00"/>
    <numFmt numFmtId="171" formatCode="0.00&quot;x&quot;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6233B"/>
      <sz val="11"/>
    </font>
    <font>
      <name val="Calibri"/>
      <color rgb="005A667A"/>
      <sz val="11"/>
    </font>
    <font>
      <name val="Calibri"/>
      <i val="1"/>
      <color rgb="005A667A"/>
      <sz val="11"/>
    </font>
    <font>
      <name val="Calibri"/>
      <color rgb="0016233B"/>
      <sz val="11"/>
    </font>
    <font>
      <name val="Calibri"/>
      <b val="1"/>
      <i val="1"/>
      <color rgb="005A667A"/>
      <sz val="11"/>
    </font>
    <font>
      <name val="Calibri"/>
      <b val="1"/>
      <color rgb="000F1E3A"/>
      <sz val="10"/>
    </font>
    <font>
      <name val="Calibri"/>
      <b val="1"/>
      <color rgb="000F1E3A"/>
      <sz val="12"/>
    </font>
    <font>
      <name val="Calibri"/>
      <color rgb="005A667A"/>
      <sz val="12"/>
    </font>
    <font>
      <name val="Calibri"/>
      <i val="1"/>
      <color rgb="005A667A"/>
      <sz val="12"/>
    </font>
    <font>
      <name val="Calibri"/>
      <i val="1"/>
      <color rgb="005A667A"/>
      <sz val="9"/>
    </font>
    <font>
      <name val="Calibri"/>
      <b val="1"/>
      <color rgb="00FFFFFF"/>
      <sz val="14"/>
    </font>
    <font>
      <name val="Calibri"/>
      <b val="1"/>
      <color rgb="002F5CE6"/>
      <sz val="11"/>
    </font>
    <font>
      <name val="Calibri"/>
      <b val="1"/>
      <color rgb="000F1E3A"/>
      <sz val="16"/>
    </font>
    <font>
      <name val="Calibri"/>
      <i val="1"/>
      <color rgb="005A667A"/>
      <sz val="10"/>
    </font>
    <font>
      <name val="Calibri"/>
      <b val="1"/>
      <color rgb="000F1E3A"/>
      <sz val="18"/>
    </font>
    <font>
      <name val="Calibri"/>
      <b val="1"/>
      <color rgb="001E7F3C"/>
      <sz val="18"/>
    </font>
    <font>
      <name val="Calibri"/>
      <b val="1"/>
      <color rgb="002F5CE6"/>
      <sz val="18"/>
    </font>
    <font>
      <name val="Calibri"/>
      <b val="1"/>
      <color rgb="00F5A623"/>
      <sz val="18"/>
    </font>
    <font>
      <name val="Calibri"/>
      <b val="1"/>
      <color rgb="000F1E3A"/>
      <sz val="11"/>
    </font>
  </fonts>
  <fills count="12">
    <fill>
      <patternFill/>
    </fill>
    <fill>
      <patternFill patternType="gray125"/>
    </fill>
    <fill>
      <patternFill patternType="solid">
        <fgColor rgb="000F1E3A"/>
      </patternFill>
    </fill>
    <fill>
      <patternFill patternType="solid">
        <fgColor rgb="002F5CE6"/>
      </patternFill>
    </fill>
    <fill>
      <patternFill patternType="solid">
        <fgColor rgb="00EEF1F6"/>
      </patternFill>
    </fill>
    <fill>
      <patternFill patternType="solid">
        <fgColor rgb="00DCE4F5"/>
      </patternFill>
    </fill>
    <fill>
      <patternFill patternType="solid">
        <fgColor rgb="001E7F3C"/>
      </patternFill>
    </fill>
    <fill>
      <patternFill patternType="solid">
        <fgColor rgb="00F5A623"/>
      </patternFill>
    </fill>
    <fill>
      <patternFill patternType="solid">
        <fgColor rgb="00C5E4CD"/>
      </patternFill>
    </fill>
    <fill>
      <patternFill patternType="solid">
        <fgColor rgb="009CCBAA"/>
      </patternFill>
    </fill>
    <fill>
      <patternFill patternType="solid">
        <fgColor rgb="0069AC7D"/>
      </patternFill>
    </fill>
    <fill>
      <patternFill patternType="solid">
        <fgColor rgb="00338C4F"/>
      </patternFill>
    </fill>
  </fills>
  <borders count="5">
    <border>
      <left/>
      <right/>
      <top/>
      <bottom/>
      <diagonal/>
    </border>
    <border>
      <bottom style="medium">
        <color rgb="000F1E3A"/>
      </bottom>
    </border>
    <border>
      <top style="medium">
        <color rgb="000F1E3A"/>
      </top>
    </border>
    <border>
      <top style="thin">
        <color rgb="00C9D2E0"/>
      </top>
    </border>
    <border>
      <top style="medium">
        <color rgb="000F1E3A"/>
      </top>
      <bottom style="double">
        <color rgb="000F1E3A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5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8" fontId="7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166" fontId="4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7" fontId="6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9" fontId="6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168" fontId="4" fillId="0" borderId="3" applyAlignment="1" pivotButton="0" quotePrefix="0" xfId="0">
      <alignment horizontal="right" vertical="center"/>
    </xf>
    <xf numFmtId="168" fontId="5" fillId="0" borderId="3" applyAlignment="1" pivotButton="0" quotePrefix="0" xfId="0">
      <alignment horizontal="right" vertical="center"/>
    </xf>
    <xf numFmtId="167" fontId="6" fillId="0" borderId="3" applyAlignment="1" pivotButton="0" quotePrefix="0" xfId="0">
      <alignment horizontal="right" vertical="center"/>
    </xf>
    <xf numFmtId="0" fontId="10" fillId="0" borderId="4" applyAlignment="1" pivotButton="0" quotePrefix="0" xfId="0">
      <alignment horizontal="left" vertical="center"/>
    </xf>
    <xf numFmtId="166" fontId="10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167" fontId="12" fillId="0" borderId="4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0" fontId="5" fillId="0" borderId="0" applyAlignment="1" pivotButton="0" quotePrefix="0" xfId="0">
      <alignment horizontal="right" vertical="center"/>
    </xf>
    <xf numFmtId="171" fontId="6" fillId="0" borderId="0" applyAlignment="1" pivotButton="0" quotePrefix="0" xfId="0">
      <alignment horizontal="right" vertical="center"/>
    </xf>
    <xf numFmtId="171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top" wrapText="1"/>
    </xf>
    <xf numFmtId="0" fontId="14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169" fontId="15" fillId="4" borderId="0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/>
    </xf>
    <xf numFmtId="169" fontId="15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166" fontId="18" fillId="5" borderId="0" applyAlignment="1" pivotButton="0" quotePrefix="0" xfId="0">
      <alignment horizontal="left" vertical="center"/>
    </xf>
    <xf numFmtId="166" fontId="19" fillId="5" borderId="0" applyAlignment="1" pivotButton="0" quotePrefix="0" xfId="0">
      <alignment horizontal="left" vertical="center"/>
    </xf>
    <xf numFmtId="169" fontId="20" fillId="5" borderId="0" applyAlignment="1" pivotButton="0" quotePrefix="0" xfId="0">
      <alignment horizontal="left" vertical="center"/>
    </xf>
    <xf numFmtId="170" fontId="21" fillId="5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3" fontId="4" fillId="8" borderId="0" applyAlignment="1" pivotButton="0" quotePrefix="0" xfId="0">
      <alignment horizontal="center" vertical="center"/>
    </xf>
    <xf numFmtId="3" fontId="4" fillId="9" borderId="0" applyAlignment="1" pivotButton="0" quotePrefix="0" xfId="0">
      <alignment horizontal="center" vertical="center"/>
    </xf>
    <xf numFmtId="3" fontId="4" fillId="10" borderId="0" applyAlignment="1" pivotButton="0" quotePrefix="0" xfId="0">
      <alignment horizontal="center" vertical="center"/>
    </xf>
    <xf numFmtId="3" fontId="4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1" customWidth="1" min="8" max="8"/>
  </cols>
  <sheetData>
    <row r="1" ht="30" customHeight="1">
      <c r="A1" s="1" t="inlineStr">
        <is>
          <t>Acme Corp — Consolidated Income Statement</t>
        </is>
      </c>
    </row>
    <row r="2" ht="18" customHeight="1">
      <c r="A2" s="2" t="inlineStr">
        <is>
          <t>$ in millions, except per-share data   ·   Fiscal Year 2026</t>
        </is>
      </c>
    </row>
    <row r="3" ht="20" customHeight="1">
      <c r="A3" s="3" t="inlineStr"/>
      <c r="B3" s="4" t="n">
        <v>46022</v>
      </c>
      <c r="C3" s="4" t="n">
        <v>46112</v>
      </c>
      <c r="D3" s="4" t="n">
        <v>46203</v>
      </c>
      <c r="E3" s="4" t="n">
        <v>46295</v>
      </c>
      <c r="F3" s="5" t="inlineStr">
        <is>
          <t>FY2026</t>
        </is>
      </c>
      <c r="G3" s="5" t="inlineStr">
        <is>
          <t>FY2025</t>
        </is>
      </c>
      <c r="H3" s="5" t="inlineStr">
        <is>
          <t>YoY</t>
        </is>
      </c>
    </row>
    <row r="4">
      <c r="A4" s="6" t="inlineStr">
        <is>
          <t>Revenue</t>
        </is>
      </c>
      <c r="B4" s="7" t="n">
        <v>412</v>
      </c>
      <c r="C4" s="7" t="n">
        <v>438.5</v>
      </c>
      <c r="D4" s="7" t="n">
        <v>471.2</v>
      </c>
      <c r="E4" s="7" t="n">
        <v>505.9</v>
      </c>
      <c r="F4" s="7">
        <f>SUM(B4:E4)</f>
        <v/>
      </c>
      <c r="G4" s="8" t="n">
        <v>1502</v>
      </c>
      <c r="H4" s="9">
        <f>IF(G4=0,"",F4/G4-1)</f>
        <v/>
      </c>
    </row>
    <row r="5">
      <c r="A5" s="10" t="inlineStr">
        <is>
          <t xml:space="preserve">    Cost of revenue</t>
        </is>
      </c>
      <c r="B5" s="11" t="n">
        <v>-168.9</v>
      </c>
      <c r="C5" s="11" t="n">
        <v>-177.4</v>
      </c>
      <c r="D5" s="11" t="n">
        <v>-188.5</v>
      </c>
      <c r="E5" s="11" t="n">
        <v>-200.8</v>
      </c>
      <c r="F5" s="12">
        <f>SUM(B5:E5)</f>
        <v/>
      </c>
      <c r="G5" s="13" t="n">
        <v>-690</v>
      </c>
      <c r="H5" s="9">
        <f>IF(G5=0,"",F5/G5-1)</f>
        <v/>
      </c>
    </row>
    <row r="6">
      <c r="A6" s="14" t="inlineStr">
        <is>
          <t>Gross profit</t>
        </is>
      </c>
      <c r="B6" s="15">
        <f>B4+B5</f>
        <v/>
      </c>
      <c r="C6" s="15">
        <f>C4+C5</f>
        <v/>
      </c>
      <c r="D6" s="15">
        <f>D4+D5</f>
        <v/>
      </c>
      <c r="E6" s="15">
        <f>E4+E5</f>
        <v/>
      </c>
      <c r="F6" s="15">
        <f>F4+F5</f>
        <v/>
      </c>
      <c r="G6" s="16" t="n">
        <v>812</v>
      </c>
      <c r="H6" s="17">
        <f>IF(G6=0,"",F6/G6-1)</f>
        <v/>
      </c>
    </row>
    <row r="7">
      <c r="A7" s="18" t="inlineStr">
        <is>
          <t xml:space="preserve">    Gross margin</t>
        </is>
      </c>
      <c r="B7" s="19">
        <f>B6/B4</f>
        <v/>
      </c>
      <c r="C7" s="19">
        <f>C6/C4</f>
        <v/>
      </c>
      <c r="D7" s="19">
        <f>D6/D4</f>
        <v/>
      </c>
      <c r="E7" s="19">
        <f>E6/E4</f>
        <v/>
      </c>
      <c r="F7" s="20">
        <f>F6/F4</f>
        <v/>
      </c>
      <c r="G7" s="19">
        <f>G6/G4</f>
        <v/>
      </c>
    </row>
    <row r="8">
      <c r="A8" s="21" t="inlineStr">
        <is>
          <t>Operating expenses</t>
        </is>
      </c>
    </row>
    <row r="9">
      <c r="A9" s="10" t="inlineStr">
        <is>
          <t xml:space="preserve">    Research &amp; development</t>
        </is>
      </c>
      <c r="B9" s="11" t="n">
        <v>-52</v>
      </c>
      <c r="C9" s="11" t="n">
        <v>-55.1</v>
      </c>
      <c r="D9" s="11" t="n">
        <v>-58.4</v>
      </c>
      <c r="E9" s="11" t="n">
        <v>-61</v>
      </c>
      <c r="F9" s="12">
        <f>SUM(B9:E9)</f>
        <v/>
      </c>
      <c r="G9" s="13" t="n"/>
      <c r="H9" s="9">
        <f>IF(G9=0,"",F9/G9-1)</f>
        <v/>
      </c>
    </row>
    <row r="10">
      <c r="A10" s="10" t="inlineStr">
        <is>
          <t xml:space="preserve">    Sales &amp; marketing</t>
        </is>
      </c>
      <c r="B10" s="11" t="n">
        <v>-70.40000000000001</v>
      </c>
      <c r="C10" s="11" t="n">
        <v>-74.2</v>
      </c>
      <c r="D10" s="11" t="n">
        <v>-79.90000000000001</v>
      </c>
      <c r="E10" s="11" t="n">
        <v>-84.09999999999999</v>
      </c>
      <c r="F10" s="12">
        <f>SUM(B10:E10)</f>
        <v/>
      </c>
      <c r="G10" s="13" t="n"/>
      <c r="H10" s="9">
        <f>IF(G10=0,"",F10/G10-1)</f>
        <v/>
      </c>
    </row>
    <row r="11">
      <c r="A11" s="10" t="inlineStr">
        <is>
          <t xml:space="preserve">    General &amp; administrative</t>
        </is>
      </c>
      <c r="B11" s="11" t="n">
        <v>-28.1</v>
      </c>
      <c r="C11" s="11" t="n">
        <v>-29</v>
      </c>
      <c r="D11" s="11" t="n">
        <v>-30.2</v>
      </c>
      <c r="E11" s="11" t="n">
        <v>-31.4</v>
      </c>
      <c r="F11" s="12">
        <f>SUM(B11:E11)</f>
        <v/>
      </c>
      <c r="G11" s="13" t="n"/>
      <c r="H11" s="9">
        <f>IF(G11=0,"",F11/G11-1)</f>
        <v/>
      </c>
    </row>
    <row r="12">
      <c r="A12" s="22" t="inlineStr">
        <is>
          <t>Total operating expenses</t>
        </is>
      </c>
      <c r="B12" s="23">
        <f>SUM(B9:B11)</f>
        <v/>
      </c>
      <c r="C12" s="23">
        <f>SUM(C9:C11)</f>
        <v/>
      </c>
      <c r="D12" s="23">
        <f>SUM(D9:D11)</f>
        <v/>
      </c>
      <c r="E12" s="23">
        <f>SUM(E9:E11)</f>
        <v/>
      </c>
      <c r="F12" s="23">
        <f>SUM(F9:F11)</f>
        <v/>
      </c>
      <c r="G12" s="24" t="n">
        <v>-905</v>
      </c>
      <c r="H12" s="25">
        <f>IF(G12=0,"",F12/G12-1)</f>
        <v/>
      </c>
    </row>
    <row r="13">
      <c r="A13" s="14" t="inlineStr">
        <is>
          <t>Operating income (EBIT)</t>
        </is>
      </c>
      <c r="B13" s="15">
        <f>B6+B12</f>
        <v/>
      </c>
      <c r="C13" s="15">
        <f>C6+C12</f>
        <v/>
      </c>
      <c r="D13" s="15">
        <f>D6+D12</f>
        <v/>
      </c>
      <c r="E13" s="15">
        <f>E6+E12</f>
        <v/>
      </c>
      <c r="F13" s="15">
        <f>F6+F12</f>
        <v/>
      </c>
      <c r="G13" s="16" t="n">
        <v>412</v>
      </c>
      <c r="H13" s="17">
        <f>IF(G13=0,"",F13/G13-1)</f>
        <v/>
      </c>
    </row>
    <row r="14">
      <c r="A14" s="18" t="inlineStr">
        <is>
          <t xml:space="preserve">    Operating margin</t>
        </is>
      </c>
      <c r="B14" s="19">
        <f>B13/B4</f>
        <v/>
      </c>
      <c r="C14" s="19">
        <f>C13/C4</f>
        <v/>
      </c>
      <c r="D14" s="19">
        <f>D13/D4</f>
        <v/>
      </c>
      <c r="E14" s="19">
        <f>E13/E4</f>
        <v/>
      </c>
      <c r="F14" s="20">
        <f>F13/F4</f>
        <v/>
      </c>
      <c r="G14" s="19">
        <f>G13/G4</f>
        <v/>
      </c>
    </row>
    <row r="15">
      <c r="A15" s="10" t="inlineStr">
        <is>
          <t xml:space="preserve">    Interest expense</t>
        </is>
      </c>
      <c r="B15" s="11" t="n">
        <v>-6.2</v>
      </c>
      <c r="C15" s="11" t="n">
        <v>-6.2</v>
      </c>
      <c r="D15" s="11" t="n">
        <v>-6.1</v>
      </c>
      <c r="E15" s="11" t="n">
        <v>-6</v>
      </c>
      <c r="F15" s="12">
        <f>SUM(B15:E15)</f>
        <v/>
      </c>
      <c r="G15" s="13" t="n"/>
      <c r="H15" s="9">
        <f>IF(G15=0,"",F15/G15-1)</f>
        <v/>
      </c>
    </row>
    <row r="16">
      <c r="A16" s="22" t="inlineStr">
        <is>
          <t>Pretax income</t>
        </is>
      </c>
      <c r="B16" s="23">
        <f>B13+B15</f>
        <v/>
      </c>
      <c r="C16" s="23">
        <f>C13+C15</f>
        <v/>
      </c>
      <c r="D16" s="23">
        <f>D13+D15</f>
        <v/>
      </c>
      <c r="E16" s="23">
        <f>E13+E15</f>
        <v/>
      </c>
      <c r="F16" s="23">
        <f>F13+F15</f>
        <v/>
      </c>
      <c r="G16" s="24" t="n">
        <v>387.3</v>
      </c>
      <c r="H16" s="25">
        <f>IF(G16=0,"",F16/G16-1)</f>
        <v/>
      </c>
    </row>
    <row r="17">
      <c r="A17" s="10" t="inlineStr">
        <is>
          <t xml:space="preserve">    Income tax expense</t>
        </is>
      </c>
      <c r="B17" s="11">
        <f>-B16*Assumptions!$B$4</f>
        <v/>
      </c>
      <c r="C17" s="11">
        <f>-C16*Assumptions!$B$4</f>
        <v/>
      </c>
      <c r="D17" s="11">
        <f>-D16*Assumptions!$B$4</f>
        <v/>
      </c>
      <c r="E17" s="11">
        <f>-E16*Assumptions!$B$4</f>
        <v/>
      </c>
      <c r="F17" s="12">
        <f>-F16*Assumptions!$B$4</f>
        <v/>
      </c>
      <c r="G17" s="13" t="n">
        <v>-81.333</v>
      </c>
      <c r="H17" s="9">
        <f>IF(G17=0,"",F17/G17-1)</f>
        <v/>
      </c>
    </row>
    <row r="18">
      <c r="A18" s="26" t="inlineStr">
        <is>
          <t>Net income</t>
        </is>
      </c>
      <c r="B18" s="27">
        <f>B16+B17</f>
        <v/>
      </c>
      <c r="C18" s="27">
        <f>C16+C17</f>
        <v/>
      </c>
      <c r="D18" s="27">
        <f>D16+D17</f>
        <v/>
      </c>
      <c r="E18" s="27">
        <f>E16+E17</f>
        <v/>
      </c>
      <c r="F18" s="27">
        <f>F16+F17</f>
        <v/>
      </c>
      <c r="G18" s="28" t="n">
        <v>300</v>
      </c>
      <c r="H18" s="29">
        <f>IF(G18=0,"",F18/G18-1)</f>
        <v/>
      </c>
    </row>
    <row r="20">
      <c r="A20" s="10" t="inlineStr">
        <is>
          <t>Diluted EPS</t>
        </is>
      </c>
      <c r="B20" s="30">
        <f>B18/Assumptions!$B$5</f>
        <v/>
      </c>
      <c r="C20" s="30">
        <f>C18/Assumptions!$B$5</f>
        <v/>
      </c>
      <c r="D20" s="30">
        <f>D18/Assumptions!$B$5</f>
        <v/>
      </c>
      <c r="E20" s="30">
        <f>E18/Assumptions!$B$5</f>
        <v/>
      </c>
      <c r="F20" s="31">
        <f>F18/Assumptions!$B$5</f>
        <v/>
      </c>
      <c r="G20" s="32">
        <f>G18/Assumptions!$B$5</f>
        <v/>
      </c>
    </row>
    <row r="21">
      <c r="A21" s="18" t="inlineStr">
        <is>
          <t>Revenue / EBIT (x)</t>
        </is>
      </c>
      <c r="B21" s="33" t="n"/>
      <c r="C21" s="33" t="n"/>
      <c r="D21" s="33" t="n"/>
      <c r="E21" s="33" t="n"/>
      <c r="F21" s="34">
        <f>F4/F13</f>
        <v/>
      </c>
      <c r="G21" s="33" t="b">
        <v>0</v>
      </c>
    </row>
    <row r="23" ht="16" customHeight="1">
      <c r="A23" s="35" t="inlineStr">
        <is>
          <t>Note: Q1 begins the fiscal year on 1 Oct 2025. Tax rate and diluted share count are driven from the Assumptions tab; FY2025 shown for comparison. Figures may not foot due to rounding.</t>
        </is>
      </c>
    </row>
    <row r="24"/>
  </sheetData>
  <mergeCells count="4">
    <mergeCell ref="A23:H24"/>
    <mergeCell ref="A8:H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</cols>
  <sheetData>
    <row r="1" ht="26" customHeight="1">
      <c r="A1" s="36" t="inlineStr">
        <is>
          <t>Model Assumptions &amp; Drivers</t>
        </is>
      </c>
    </row>
    <row r="2">
      <c r="A2" s="37" t="inlineStr">
        <is>
          <t>Driver</t>
        </is>
      </c>
      <c r="B2" s="38" t="inlineStr">
        <is>
          <t>Value</t>
        </is>
      </c>
      <c r="C2" s="37" t="inlineStr">
        <is>
          <t>Comment</t>
        </is>
      </c>
    </row>
    <row r="3">
      <c r="A3" s="39" t="inlineStr">
        <is>
          <t>Revenue growth (YoY)</t>
        </is>
      </c>
      <c r="B3" s="40" t="n">
        <v>0.208</v>
      </c>
      <c r="C3" s="41" t="inlineStr">
        <is>
          <t>Blended across segments</t>
        </is>
      </c>
    </row>
    <row r="4">
      <c r="A4" s="10" t="inlineStr">
        <is>
          <t>Target gross margin</t>
        </is>
      </c>
      <c r="B4" s="42" t="n">
        <v>0.598</v>
      </c>
      <c r="C4" s="43" t="inlineStr">
        <is>
          <t>Mix shift to software</t>
        </is>
      </c>
    </row>
    <row r="5">
      <c r="A5" s="39" t="inlineStr">
        <is>
          <t>Effective tax rate</t>
        </is>
      </c>
      <c r="B5" s="40" t="n">
        <v>0.21</v>
      </c>
      <c r="C5" s="41" t="inlineStr">
        <is>
          <t>US statutory + state</t>
        </is>
      </c>
    </row>
    <row r="6">
      <c r="A6" s="10" t="inlineStr">
        <is>
          <t>Diluted shares (M)</t>
        </is>
      </c>
      <c r="B6" s="44" t="n">
        <v>210</v>
      </c>
      <c r="C6" s="43" t="inlineStr">
        <is>
          <t>Post buyback</t>
        </is>
      </c>
    </row>
    <row r="7">
      <c r="A7" s="39" t="inlineStr">
        <is>
          <t>WACC</t>
        </is>
      </c>
      <c r="B7" s="40" t="n">
        <v>0.092</v>
      </c>
      <c r="C7" s="41" t="inlineStr">
        <is>
          <t>CAPM, 1.15 beta</t>
        </is>
      </c>
    </row>
    <row r="8">
      <c r="A8" s="10" t="inlineStr">
        <is>
          <t>Terminal growth</t>
        </is>
      </c>
      <c r="B8" s="42" t="n">
        <v>0.025</v>
      </c>
      <c r="C8" s="43" t="inlineStr">
        <is>
          <t>Long-run GDP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</cols>
  <sheetData>
    <row r="2">
      <c r="B2" s="45" t="inlineStr">
        <is>
          <t>FY2026 Performance Summary</t>
        </is>
      </c>
    </row>
    <row r="3">
      <c r="B3" s="46" t="inlineStr">
        <is>
          <t>Pulled live from the Income Statement tab</t>
        </is>
      </c>
    </row>
    <row r="5">
      <c r="B5" s="47" t="inlineStr">
        <is>
          <t>Revenue</t>
        </is>
      </c>
      <c r="C5" s="48" t="inlineStr">
        <is>
          <t>Net income</t>
        </is>
      </c>
      <c r="D5" s="49" t="inlineStr">
        <is>
          <t>Gross margin</t>
        </is>
      </c>
      <c r="E5" s="50" t="inlineStr">
        <is>
          <t>Diluted EPS</t>
        </is>
      </c>
    </row>
    <row r="6" ht="34" customHeight="1">
      <c r="B6" s="51">
        <f>'Income Statement'!F4</f>
        <v/>
      </c>
      <c r="C6" s="52">
        <f>'Income Statement'!F18</f>
        <v/>
      </c>
      <c r="D6" s="53">
        <f>'Income Statement'!F6/'Income Statement'!F4</f>
        <v/>
      </c>
      <c r="E6" s="54">
        <f>'Income Statement'!F20</f>
        <v/>
      </c>
    </row>
    <row r="9">
      <c r="B9" s="55" t="inlineStr">
        <is>
          <t>Quarterly revenue ($M) — heat-shaded</t>
        </is>
      </c>
    </row>
    <row r="10">
      <c r="C10" s="56" t="inlineStr">
        <is>
          <t>Q1</t>
        </is>
      </c>
      <c r="D10" s="56" t="inlineStr">
        <is>
          <t>Q2</t>
        </is>
      </c>
      <c r="E10" s="56" t="inlineStr">
        <is>
          <t>Q3</t>
        </is>
      </c>
      <c r="F10" s="56" t="inlineStr">
        <is>
          <t>Q4</t>
        </is>
      </c>
    </row>
    <row r="11">
      <c r="B11" s="6" t="inlineStr">
        <is>
          <t>Revenue</t>
        </is>
      </c>
      <c r="C11" s="57">
        <f>'Income Statement'!B4</f>
        <v/>
      </c>
      <c r="D11" s="58">
        <f>'Income Statement'!C4</f>
        <v/>
      </c>
      <c r="E11" s="59">
        <f>'Income Statement'!D4</f>
        <v/>
      </c>
      <c r="F11" s="60">
        <f>'Income Statement'!E4</f>
        <v/>
      </c>
    </row>
  </sheetData>
  <mergeCells count="3">
    <mergeCell ref="B2:F2"/>
    <mergeCell ref="B9:F9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2026-07-05T08:12:39Z</dcterms:created>
  <dcterms:modified xmlns:dcterms="http://purl.org/dc/terms/" xmlns:xsi="http://www.w3.org/2001/XMLSchema-instance" xsi:type="dcterms:W3CDTF">2026-07-05T08:12:40Z</dcterms:modified>
</cp:coreProperties>
</file>